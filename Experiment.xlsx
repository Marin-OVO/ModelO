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86157\Desktop\"/>
    </mc:Choice>
  </mc:AlternateContent>
  <xr:revisionPtr revIDLastSave="0" documentId="13_ncr:1_{7835908E-D708-4476-B11E-A55342F75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40" i="1"/>
  <c r="D41" i="1"/>
  <c r="D42" i="1"/>
  <c r="D43" i="1"/>
  <c r="D44" i="1"/>
  <c r="D45" i="1"/>
  <c r="D46" i="1"/>
  <c r="D47" i="1"/>
  <c r="D48" i="1"/>
  <c r="D49" i="1"/>
  <c r="D50" i="1"/>
  <c r="D39" i="1"/>
  <c r="D38" i="1"/>
  <c r="D37" i="1"/>
  <c r="D36" i="1"/>
  <c r="D13" i="1"/>
  <c r="D14" i="1"/>
  <c r="D15" i="1"/>
  <c r="D12" i="1"/>
  <c r="C7" i="1"/>
  <c r="B7" i="1"/>
  <c r="D4" i="1"/>
  <c r="D5" i="1"/>
  <c r="D6" i="1"/>
  <c r="D3" i="1"/>
  <c r="D51" i="1" l="1"/>
</calcChain>
</file>

<file path=xl/sharedStrings.xml><?xml version="1.0" encoding="utf-8"?>
<sst xmlns="http://schemas.openxmlformats.org/spreadsheetml/2006/main" count="55" uniqueCount="40">
  <si>
    <t>RDMap + FIDT</t>
  </si>
  <si>
    <t>RDMap</t>
  </si>
  <si>
    <t>FIDT</t>
  </si>
  <si>
    <t>PointToMask</t>
  </si>
  <si>
    <t>2026/1/15: Transform experiment</t>
    <phoneticPr fontId="1" type="noConversion"/>
  </si>
  <si>
    <t>Train/Val no sigmoid</t>
    <phoneticPr fontId="1" type="noConversion"/>
  </si>
  <si>
    <t>Train/Val had sigmoid</t>
    <phoneticPr fontId="1" type="noConversion"/>
  </si>
  <si>
    <t>Method</t>
    <phoneticPr fontId="1" type="noConversion"/>
  </si>
  <si>
    <t>Avg</t>
    <phoneticPr fontId="1" type="noConversion"/>
  </si>
  <si>
    <t>Function</t>
    <phoneticPr fontId="1" type="noConversion"/>
  </si>
  <si>
    <t>FIDT(x) * (1 / (eps + 1 + λ * Gds))</t>
    <phoneticPr fontId="1" type="noConversion"/>
  </si>
  <si>
    <t>/</t>
    <phoneticPr fontId="1" type="noConversion"/>
  </si>
  <si>
    <t>2026/1/19: Add head experiment</t>
    <phoneticPr fontId="1" type="noConversion"/>
  </si>
  <si>
    <t>U-Net</t>
    <phoneticPr fontId="1" type="noConversion"/>
  </si>
  <si>
    <t>Epoch</t>
    <phoneticPr fontId="1" type="noConversion"/>
  </si>
  <si>
    <t>Diff</t>
    <phoneticPr fontId="1" type="noConversion"/>
  </si>
  <si>
    <t>Multi scale correction</t>
    <phoneticPr fontId="1" type="noConversion"/>
  </si>
  <si>
    <t>LMDS</t>
    <phoneticPr fontId="1" type="noConversion"/>
  </si>
  <si>
    <t>Adapt ts=0.1</t>
    <phoneticPr fontId="1" type="noConversion"/>
  </si>
  <si>
    <t>Adapt ts=0.3</t>
    <phoneticPr fontId="1" type="noConversion"/>
  </si>
  <si>
    <t>Adapt ts=0.5</t>
    <phoneticPr fontId="1" type="noConversion"/>
  </si>
  <si>
    <t>Adapt ts=0.7</t>
    <phoneticPr fontId="1" type="noConversion"/>
  </si>
  <si>
    <t>Adapt ts=0.9</t>
    <phoneticPr fontId="1" type="noConversion"/>
  </si>
  <si>
    <t xml:space="preserve">U-Net + Multi head </t>
    <phoneticPr fontId="1" type="noConversion"/>
  </si>
  <si>
    <t>Test2: Adapt ts=0.1</t>
    <phoneticPr fontId="1" type="noConversion"/>
  </si>
  <si>
    <t>Kernel size=1</t>
    <phoneticPr fontId="1" type="noConversion"/>
  </si>
  <si>
    <t>Kernel size=3</t>
    <phoneticPr fontId="1" type="noConversion"/>
  </si>
  <si>
    <t>Kernel size=5</t>
    <phoneticPr fontId="1" type="noConversion"/>
  </si>
  <si>
    <t>Kernel size=7</t>
    <phoneticPr fontId="1" type="noConversion"/>
  </si>
  <si>
    <t>Kernel size=9</t>
    <phoneticPr fontId="1" type="noConversion"/>
  </si>
  <si>
    <t>Test1: Kernel size=3 (U-Net + Multi head)</t>
    <phoneticPr fontId="1" type="noConversion"/>
  </si>
  <si>
    <t>Adapt ts=0.5, Kernel size=3</t>
    <phoneticPr fontId="1" type="noConversion"/>
  </si>
  <si>
    <t>2026/1/20: Add head experiment+</t>
    <phoneticPr fontId="1" type="noConversion"/>
  </si>
  <si>
    <t>SUM</t>
    <phoneticPr fontId="1" type="noConversion"/>
  </si>
  <si>
    <t>Configs: Train size=704, Val size=704, Adapt ts=0.3, Kernel size=3</t>
    <phoneticPr fontId="1" type="noConversion"/>
  </si>
  <si>
    <t>Configs: 150 Epoch + AdamW + lr=0.0003 + cosine annealing + lmds adapt ts=0.1</t>
    <phoneticPr fontId="1" type="noConversion"/>
  </si>
  <si>
    <t>Configs: Train size=10357, Val size=704, Adapt ts=0.1, Kernel size=3, Unfreeze Multi head [50, 100]</t>
    <phoneticPr fontId="1" type="noConversion"/>
  </si>
  <si>
    <t>U-Net=FocalLoss, U-Net + Multi head=WithFocalLoss</t>
    <phoneticPr fontId="1" type="noConversion"/>
  </si>
  <si>
    <t>2026/1/21: Head frequency experiment</t>
    <phoneticPr fontId="1" type="noConversion"/>
  </si>
  <si>
    <t>LPF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</si>
</sst>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  <font>
      <b/>
      <sz val="14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176" fontId="5" fillId="0" borderId="0" xfId="0" applyNumberFormat="1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73" workbookViewId="0">
      <selection activeCell="B19" sqref="B19"/>
    </sheetView>
  </sheetViews>
  <sheetFormatPr defaultRowHeight="13.8" x14ac:dyDescent="0.25"/>
  <cols>
    <col min="1" max="3" width="25.77734375" style="1" customWidth="1"/>
    <col min="4" max="4" width="11.5546875" style="1" bestFit="1" customWidth="1"/>
    <col min="5" max="5" width="45.77734375" style="1" customWidth="1"/>
    <col min="6" max="16384" width="8.88671875" style="1"/>
  </cols>
  <sheetData>
    <row r="1" spans="1:5" ht="17.399999999999999" x14ac:dyDescent="0.3">
      <c r="A1" s="11" t="s">
        <v>4</v>
      </c>
      <c r="B1" s="11"/>
      <c r="C1" s="11"/>
      <c r="D1" s="11"/>
      <c r="E1" s="11"/>
    </row>
    <row r="2" spans="1:5" ht="17.399999999999999" x14ac:dyDescent="0.3">
      <c r="A2" s="2" t="s">
        <v>7</v>
      </c>
      <c r="B2" s="2" t="s">
        <v>6</v>
      </c>
      <c r="C2" s="2" t="s">
        <v>5</v>
      </c>
      <c r="D2" s="2" t="s">
        <v>8</v>
      </c>
      <c r="E2" s="2" t="s">
        <v>9</v>
      </c>
    </row>
    <row r="3" spans="1:5" ht="18" x14ac:dyDescent="0.35">
      <c r="A3" s="3" t="s">
        <v>0</v>
      </c>
      <c r="B3" s="6">
        <v>0.4325</v>
      </c>
      <c r="C3" s="4">
        <v>0.443</v>
      </c>
      <c r="D3" s="4">
        <f>AVERAGE(B3,C3)</f>
        <v>0.43774999999999997</v>
      </c>
      <c r="E3" s="2" t="s">
        <v>10</v>
      </c>
    </row>
    <row r="4" spans="1:5" ht="18" x14ac:dyDescent="0.35">
      <c r="A4" s="3" t="s">
        <v>1</v>
      </c>
      <c r="B4" s="4">
        <v>0.40720000000000001</v>
      </c>
      <c r="C4" s="4">
        <v>0.48570000000000002</v>
      </c>
      <c r="D4" s="4">
        <f t="shared" ref="D4:D6" si="0">AVERAGE(B4,C4)</f>
        <v>0.44645000000000001</v>
      </c>
    </row>
    <row r="5" spans="1:5" ht="18" x14ac:dyDescent="0.35">
      <c r="A5" s="14" t="s">
        <v>2</v>
      </c>
      <c r="B5" s="4">
        <v>0.39789999999999998</v>
      </c>
      <c r="C5" s="4" t="s">
        <v>11</v>
      </c>
      <c r="D5" s="4">
        <f t="shared" si="0"/>
        <v>0.39789999999999998</v>
      </c>
    </row>
    <row r="6" spans="1:5" ht="18" x14ac:dyDescent="0.35">
      <c r="A6" s="14" t="s">
        <v>3</v>
      </c>
      <c r="B6" s="4">
        <v>0.39979999999999999</v>
      </c>
      <c r="C6" s="5">
        <v>0.56310000000000004</v>
      </c>
      <c r="D6" s="4">
        <f t="shared" si="0"/>
        <v>0.48145000000000004</v>
      </c>
    </row>
    <row r="7" spans="1:5" ht="18" x14ac:dyDescent="0.35">
      <c r="A7" s="2" t="s">
        <v>8</v>
      </c>
      <c r="B7" s="4">
        <f>AVERAGE(B3:B6)</f>
        <v>0.40934999999999999</v>
      </c>
      <c r="C7" s="4">
        <f>AVERAGE(C3:C6)</f>
        <v>0.49726666666666669</v>
      </c>
      <c r="D7" s="3" t="s">
        <v>11</v>
      </c>
    </row>
    <row r="8" spans="1:5" ht="17.399999999999999" x14ac:dyDescent="0.3">
      <c r="A8" s="12" t="s">
        <v>35</v>
      </c>
      <c r="B8" s="13"/>
      <c r="C8" s="13"/>
      <c r="D8" s="13"/>
      <c r="E8" s="13"/>
    </row>
    <row r="10" spans="1:5" ht="17.399999999999999" x14ac:dyDescent="0.3">
      <c r="A10" s="11" t="s">
        <v>12</v>
      </c>
      <c r="B10" s="11"/>
      <c r="C10" s="11"/>
      <c r="D10" s="11"/>
      <c r="E10" s="11"/>
    </row>
    <row r="11" spans="1:5" ht="18" x14ac:dyDescent="0.35">
      <c r="A11" s="2" t="s">
        <v>14</v>
      </c>
      <c r="B11" s="2" t="s">
        <v>23</v>
      </c>
      <c r="C11" s="2" t="s">
        <v>13</v>
      </c>
      <c r="D11" s="2" t="s">
        <v>15</v>
      </c>
      <c r="E11" s="3"/>
    </row>
    <row r="12" spans="1:5" ht="18" x14ac:dyDescent="0.35">
      <c r="A12" s="2">
        <v>10</v>
      </c>
      <c r="B12" s="7">
        <v>0.15240000000000001</v>
      </c>
      <c r="C12" s="7">
        <v>0.1411</v>
      </c>
      <c r="D12" s="7">
        <f>SUM(B12,-C12)</f>
        <v>1.1300000000000004E-2</v>
      </c>
      <c r="E12" s="2"/>
    </row>
    <row r="13" spans="1:5" ht="18" x14ac:dyDescent="0.35">
      <c r="A13" s="2">
        <v>20</v>
      </c>
      <c r="B13" s="7">
        <v>0.23799999999999999</v>
      </c>
      <c r="C13" s="7">
        <v>0.123</v>
      </c>
      <c r="D13" s="7">
        <f t="shared" ref="D13:D15" si="1">SUM(B13,-C13)</f>
        <v>0.11499999999999999</v>
      </c>
      <c r="E13" s="3"/>
    </row>
    <row r="14" spans="1:5" ht="18" x14ac:dyDescent="0.35">
      <c r="A14" s="2">
        <v>30</v>
      </c>
      <c r="B14" s="7">
        <v>0.17349999999999999</v>
      </c>
      <c r="C14" s="7">
        <v>0.18840000000000001</v>
      </c>
      <c r="D14" s="7">
        <f t="shared" si="1"/>
        <v>-1.4900000000000024E-2</v>
      </c>
      <c r="E14" s="3"/>
    </row>
    <row r="15" spans="1:5" ht="18" x14ac:dyDescent="0.35">
      <c r="A15" s="2">
        <v>40</v>
      </c>
      <c r="B15" s="7">
        <v>0.28939999999999999</v>
      </c>
      <c r="C15" s="7">
        <v>0.26850000000000002</v>
      </c>
      <c r="D15" s="7">
        <f t="shared" si="1"/>
        <v>2.0899999999999974E-2</v>
      </c>
      <c r="E15" s="3"/>
    </row>
    <row r="16" spans="1:5" ht="18" x14ac:dyDescent="0.35">
      <c r="A16" s="2" t="s">
        <v>33</v>
      </c>
      <c r="B16" s="7"/>
      <c r="C16" s="7"/>
      <c r="D16" s="7">
        <f>SUM(D12:D15)</f>
        <v>0.13229999999999995</v>
      </c>
      <c r="E16" s="3"/>
    </row>
    <row r="17" spans="1:5" ht="18" customHeight="1" x14ac:dyDescent="0.3">
      <c r="A17" s="12" t="s">
        <v>34</v>
      </c>
      <c r="B17" s="12"/>
      <c r="C17" s="12"/>
      <c r="D17" s="12"/>
      <c r="E17" s="12"/>
    </row>
    <row r="18" spans="1:5" ht="17.399999999999999" x14ac:dyDescent="0.3">
      <c r="A18" s="10" t="s">
        <v>30</v>
      </c>
      <c r="B18" s="10"/>
      <c r="C18" s="10"/>
      <c r="D18" s="10"/>
      <c r="E18" s="10"/>
    </row>
    <row r="19" spans="1:5" ht="18" customHeight="1" x14ac:dyDescent="0.35">
      <c r="A19" s="3"/>
      <c r="B19" s="2" t="s">
        <v>16</v>
      </c>
      <c r="C19" s="2" t="s">
        <v>17</v>
      </c>
      <c r="D19" s="3"/>
      <c r="E19" s="3"/>
    </row>
    <row r="20" spans="1:5" ht="18" x14ac:dyDescent="0.35">
      <c r="A20" s="2" t="s">
        <v>18</v>
      </c>
      <c r="B20" s="7">
        <v>0.122</v>
      </c>
      <c r="C20" s="7">
        <v>0.32650000000000001</v>
      </c>
      <c r="D20" s="3"/>
      <c r="E20" s="3"/>
    </row>
    <row r="21" spans="1:5" ht="18" x14ac:dyDescent="0.35">
      <c r="A21" s="2" t="s">
        <v>19</v>
      </c>
      <c r="B21" s="7">
        <v>0.22459999999999999</v>
      </c>
      <c r="C21" s="7">
        <v>0.54820000000000002</v>
      </c>
      <c r="D21" s="3"/>
      <c r="E21" s="3"/>
    </row>
    <row r="22" spans="1:5" ht="18" x14ac:dyDescent="0.35">
      <c r="A22" s="2" t="s">
        <v>20</v>
      </c>
      <c r="B22" s="7">
        <v>0.3387</v>
      </c>
      <c r="C22" s="8">
        <v>0.58420000000000005</v>
      </c>
    </row>
    <row r="23" spans="1:5" ht="18" x14ac:dyDescent="0.35">
      <c r="A23" s="2" t="s">
        <v>21</v>
      </c>
      <c r="B23" s="3">
        <v>0.36459999999999998</v>
      </c>
      <c r="C23" s="3">
        <v>0.49669999999999997</v>
      </c>
    </row>
    <row r="24" spans="1:5" ht="18" x14ac:dyDescent="0.35">
      <c r="A24" s="2" t="s">
        <v>22</v>
      </c>
      <c r="B24" s="9">
        <v>0.37330000000000002</v>
      </c>
      <c r="C24" s="3">
        <v>0.13789999999999999</v>
      </c>
    </row>
    <row r="25" spans="1:5" ht="17.399999999999999" x14ac:dyDescent="0.3">
      <c r="A25" s="10" t="s">
        <v>24</v>
      </c>
      <c r="B25" s="10"/>
      <c r="C25" s="10"/>
      <c r="D25" s="10"/>
      <c r="E25" s="10"/>
    </row>
    <row r="26" spans="1:5" ht="18" x14ac:dyDescent="0.35">
      <c r="A26" s="3"/>
      <c r="B26" s="2" t="s">
        <v>16</v>
      </c>
      <c r="C26" s="2" t="s">
        <v>17</v>
      </c>
      <c r="D26" s="3"/>
      <c r="E26" s="3"/>
    </row>
    <row r="27" spans="1:5" ht="18" x14ac:dyDescent="0.35">
      <c r="A27" s="2" t="s">
        <v>25</v>
      </c>
      <c r="B27" s="7">
        <v>1.43E-2</v>
      </c>
      <c r="C27" s="7">
        <v>5.3800000000000001E-2</v>
      </c>
      <c r="D27" s="3"/>
      <c r="E27" s="3"/>
    </row>
    <row r="28" spans="1:5" ht="18" x14ac:dyDescent="0.35">
      <c r="A28" s="2" t="s">
        <v>26</v>
      </c>
      <c r="B28" s="7">
        <v>0.122</v>
      </c>
      <c r="C28" s="8">
        <v>0.32650000000000001</v>
      </c>
      <c r="D28" s="3"/>
      <c r="E28" s="3"/>
    </row>
    <row r="29" spans="1:5" ht="18" x14ac:dyDescent="0.35">
      <c r="A29" s="2" t="s">
        <v>27</v>
      </c>
      <c r="B29" s="7">
        <v>0.17649999999999999</v>
      </c>
      <c r="C29" s="7">
        <v>0.30370000000000003</v>
      </c>
    </row>
    <row r="30" spans="1:5" ht="18" x14ac:dyDescent="0.35">
      <c r="A30" s="2" t="s">
        <v>28</v>
      </c>
      <c r="B30" s="3">
        <v>0.1825</v>
      </c>
      <c r="C30" s="3">
        <v>0.29170000000000001</v>
      </c>
    </row>
    <row r="31" spans="1:5" ht="18" x14ac:dyDescent="0.35">
      <c r="A31" s="2" t="s">
        <v>29</v>
      </c>
      <c r="B31" s="9">
        <v>0.2049</v>
      </c>
      <c r="C31" s="3">
        <v>0.3049</v>
      </c>
    </row>
    <row r="32" spans="1:5" ht="17.399999999999999" x14ac:dyDescent="0.3">
      <c r="A32" s="16" t="s">
        <v>31</v>
      </c>
      <c r="B32" s="15"/>
      <c r="C32" s="15"/>
      <c r="D32" s="15"/>
      <c r="E32" s="15"/>
    </row>
    <row r="34" spans="1:5" ht="17.399999999999999" x14ac:dyDescent="0.3">
      <c r="A34" s="11" t="s">
        <v>32</v>
      </c>
      <c r="B34" s="11"/>
      <c r="C34" s="11"/>
      <c r="D34" s="11"/>
      <c r="E34" s="11"/>
    </row>
    <row r="35" spans="1:5" ht="18" x14ac:dyDescent="0.35">
      <c r="A35" s="2" t="s">
        <v>14</v>
      </c>
      <c r="B35" s="2" t="s">
        <v>23</v>
      </c>
      <c r="C35" s="2" t="s">
        <v>13</v>
      </c>
      <c r="D35" s="2" t="s">
        <v>15</v>
      </c>
      <c r="E35" s="3"/>
    </row>
    <row r="36" spans="1:5" ht="18" x14ac:dyDescent="0.35">
      <c r="A36" s="2">
        <v>10</v>
      </c>
      <c r="B36" s="4">
        <v>6.8199999999999997E-2</v>
      </c>
      <c r="C36" s="4">
        <v>7.6499999999999999E-2</v>
      </c>
      <c r="D36" s="7">
        <f>SUM(B36,-C36)</f>
        <v>-8.3000000000000018E-3</v>
      </c>
      <c r="E36" s="3"/>
    </row>
    <row r="37" spans="1:5" ht="18" x14ac:dyDescent="0.35">
      <c r="A37" s="2">
        <v>20</v>
      </c>
      <c r="B37" s="4">
        <v>0.14480000000000001</v>
      </c>
      <c r="C37" s="4">
        <v>0.1409</v>
      </c>
      <c r="D37" s="7">
        <f t="shared" ref="D37:D50" si="2">SUM(B37,-C37)</f>
        <v>3.9000000000000146E-3</v>
      </c>
      <c r="E37" s="3"/>
    </row>
    <row r="38" spans="1:5" ht="18" x14ac:dyDescent="0.35">
      <c r="A38" s="2">
        <v>30</v>
      </c>
      <c r="B38" s="4">
        <v>0.18959999999999999</v>
      </c>
      <c r="C38" s="4">
        <v>9.7100000000000006E-2</v>
      </c>
      <c r="D38" s="7">
        <f t="shared" si="2"/>
        <v>9.2499999999999985E-2</v>
      </c>
      <c r="E38" s="3"/>
    </row>
    <row r="39" spans="1:5" ht="18" x14ac:dyDescent="0.35">
      <c r="A39" s="2">
        <v>40</v>
      </c>
      <c r="B39" s="4">
        <v>0.2253</v>
      </c>
      <c r="C39" s="4">
        <v>0.2883</v>
      </c>
      <c r="D39" s="7">
        <f t="shared" si="2"/>
        <v>-6.3E-2</v>
      </c>
      <c r="E39" s="3"/>
    </row>
    <row r="40" spans="1:5" ht="18" x14ac:dyDescent="0.35">
      <c r="A40" s="2">
        <v>50</v>
      </c>
      <c r="B40" s="4">
        <v>0.22889999999999999</v>
      </c>
      <c r="C40" s="4">
        <v>0.2959</v>
      </c>
      <c r="D40" s="7">
        <f t="shared" si="2"/>
        <v>-6.7000000000000004E-2</v>
      </c>
      <c r="E40" s="3"/>
    </row>
    <row r="41" spans="1:5" ht="18" x14ac:dyDescent="0.35">
      <c r="A41" s="2">
        <v>60</v>
      </c>
      <c r="B41" s="4">
        <v>0.21990000000000001</v>
      </c>
      <c r="C41" s="4">
        <v>0.33029999999999998</v>
      </c>
      <c r="D41" s="7">
        <f t="shared" si="2"/>
        <v>-0.11039999999999997</v>
      </c>
      <c r="E41" s="3"/>
    </row>
    <row r="42" spans="1:5" ht="18" x14ac:dyDescent="0.35">
      <c r="A42" s="2">
        <v>70</v>
      </c>
      <c r="B42" s="4">
        <v>0.19359999999999999</v>
      </c>
      <c r="C42" s="4">
        <v>0.34420000000000001</v>
      </c>
      <c r="D42" s="7">
        <f t="shared" si="2"/>
        <v>-0.15060000000000001</v>
      </c>
      <c r="E42" s="3"/>
    </row>
    <row r="43" spans="1:5" ht="18" x14ac:dyDescent="0.35">
      <c r="A43" s="2">
        <v>80</v>
      </c>
      <c r="B43" s="4">
        <v>0.2475</v>
      </c>
      <c r="C43" s="4">
        <v>0.37169999999999997</v>
      </c>
      <c r="D43" s="7">
        <f t="shared" si="2"/>
        <v>-0.12419999999999998</v>
      </c>
      <c r="E43" s="3"/>
    </row>
    <row r="44" spans="1:5" ht="18" x14ac:dyDescent="0.35">
      <c r="A44" s="2">
        <v>90</v>
      </c>
      <c r="B44" s="6">
        <v>0.29659999999999997</v>
      </c>
      <c r="C44" s="4">
        <v>0.377</v>
      </c>
      <c r="D44" s="7">
        <f t="shared" si="2"/>
        <v>-8.0400000000000027E-2</v>
      </c>
      <c r="E44" s="3"/>
    </row>
    <row r="45" spans="1:5" ht="18" x14ac:dyDescent="0.35">
      <c r="A45" s="2">
        <v>100</v>
      </c>
      <c r="B45" s="4">
        <v>1.14E-2</v>
      </c>
      <c r="C45" s="4">
        <v>0.3725</v>
      </c>
      <c r="D45" s="7">
        <f t="shared" si="2"/>
        <v>-0.36109999999999998</v>
      </c>
      <c r="E45" s="3"/>
    </row>
    <row r="46" spans="1:5" ht="18" x14ac:dyDescent="0.35">
      <c r="A46" s="2">
        <v>110</v>
      </c>
      <c r="B46" s="4">
        <v>0.14449999999999999</v>
      </c>
      <c r="C46" s="4">
        <v>0.3931</v>
      </c>
      <c r="D46" s="7">
        <f t="shared" si="2"/>
        <v>-0.24860000000000002</v>
      </c>
      <c r="E46" s="3"/>
    </row>
    <row r="47" spans="1:5" ht="18" x14ac:dyDescent="0.35">
      <c r="A47" s="2">
        <v>120</v>
      </c>
      <c r="B47" s="4">
        <v>0.24909999999999999</v>
      </c>
      <c r="C47" s="4">
        <v>0.4083</v>
      </c>
      <c r="D47" s="7">
        <f t="shared" si="2"/>
        <v>-0.15920000000000001</v>
      </c>
      <c r="E47" s="3"/>
    </row>
    <row r="48" spans="1:5" ht="18" x14ac:dyDescent="0.35">
      <c r="A48" s="2">
        <v>130</v>
      </c>
      <c r="B48" s="4">
        <v>0.2641</v>
      </c>
      <c r="C48" s="4">
        <v>0.40910000000000002</v>
      </c>
      <c r="D48" s="7">
        <f t="shared" si="2"/>
        <v>-0.14500000000000002</v>
      </c>
      <c r="E48" s="3"/>
    </row>
    <row r="49" spans="1:5" ht="18" x14ac:dyDescent="0.35">
      <c r="A49" s="2">
        <v>140</v>
      </c>
      <c r="B49" s="4">
        <v>0.28889999999999999</v>
      </c>
      <c r="C49" s="6">
        <v>0.41460000000000002</v>
      </c>
      <c r="D49" s="7">
        <f t="shared" si="2"/>
        <v>-0.12570000000000003</v>
      </c>
      <c r="E49" s="3"/>
    </row>
    <row r="50" spans="1:5" ht="18" x14ac:dyDescent="0.35">
      <c r="A50" s="2">
        <v>150</v>
      </c>
      <c r="B50" s="4">
        <v>0.2732</v>
      </c>
      <c r="C50" s="4">
        <v>0.37219999999999998</v>
      </c>
      <c r="D50" s="7">
        <f t="shared" si="2"/>
        <v>-9.8999999999999977E-2</v>
      </c>
      <c r="E50" s="3"/>
    </row>
    <row r="51" spans="1:5" ht="18" x14ac:dyDescent="0.35">
      <c r="A51" s="2" t="s">
        <v>33</v>
      </c>
      <c r="B51" s="4"/>
      <c r="C51" s="4"/>
      <c r="D51" s="7">
        <f>SUM(D36:D50)</f>
        <v>-1.6460999999999999</v>
      </c>
      <c r="E51" s="3"/>
    </row>
    <row r="52" spans="1:5" ht="17.399999999999999" x14ac:dyDescent="0.3">
      <c r="A52" s="12" t="s">
        <v>36</v>
      </c>
      <c r="B52" s="12"/>
      <c r="C52" s="12"/>
      <c r="D52" s="12"/>
      <c r="E52" s="12"/>
    </row>
    <row r="53" spans="1:5" ht="18" x14ac:dyDescent="0.35">
      <c r="A53" s="16" t="s">
        <v>37</v>
      </c>
      <c r="B53" s="17"/>
      <c r="C53" s="17"/>
      <c r="D53" s="17"/>
      <c r="E53" s="17"/>
    </row>
    <row r="54" spans="1:5" ht="18" x14ac:dyDescent="0.35">
      <c r="A54" s="2" t="s">
        <v>14</v>
      </c>
      <c r="B54" s="2" t="s">
        <v>13</v>
      </c>
      <c r="C54" s="3"/>
      <c r="D54" s="3"/>
      <c r="E54" s="3"/>
    </row>
    <row r="55" spans="1:5" ht="18" x14ac:dyDescent="0.35">
      <c r="A55" s="2">
        <v>10</v>
      </c>
      <c r="B55" s="7">
        <v>0.13869999999999999</v>
      </c>
      <c r="C55" s="7">
        <v>0.4209</v>
      </c>
      <c r="D55" s="3"/>
      <c r="E55" s="3"/>
    </row>
    <row r="56" spans="1:5" ht="18" x14ac:dyDescent="0.35">
      <c r="A56" s="2">
        <v>20</v>
      </c>
      <c r="B56" s="7">
        <v>0.2621</v>
      </c>
      <c r="C56" s="7">
        <v>0.53759999999999997</v>
      </c>
      <c r="D56" s="3"/>
      <c r="E56" s="3"/>
    </row>
    <row r="57" spans="1:5" ht="18" x14ac:dyDescent="0.35">
      <c r="A57" s="2">
        <v>30</v>
      </c>
      <c r="B57" s="7">
        <v>0.27389999999999998</v>
      </c>
      <c r="C57" s="7">
        <v>0.55679999999999996</v>
      </c>
      <c r="D57" s="3"/>
      <c r="E57" s="3"/>
    </row>
    <row r="58" spans="1:5" ht="18" x14ac:dyDescent="0.35">
      <c r="A58" s="2">
        <v>40</v>
      </c>
      <c r="B58" s="7">
        <v>0.35399999999999998</v>
      </c>
      <c r="C58" s="7">
        <v>0.60350000000000004</v>
      </c>
      <c r="D58" s="3"/>
      <c r="E58" s="3"/>
    </row>
    <row r="59" spans="1:5" ht="18" x14ac:dyDescent="0.35">
      <c r="A59" s="2">
        <v>50</v>
      </c>
      <c r="B59" s="7">
        <v>0.4148</v>
      </c>
      <c r="C59" s="7">
        <v>0.61509999999999998</v>
      </c>
      <c r="D59" s="3"/>
      <c r="E59" s="3"/>
    </row>
    <row r="60" spans="1:5" ht="18" x14ac:dyDescent="0.35">
      <c r="A60" s="2">
        <v>60</v>
      </c>
      <c r="B60" s="7">
        <v>0.43409999999999999</v>
      </c>
      <c r="C60" s="7">
        <v>0.60509999999999997</v>
      </c>
      <c r="D60" s="3"/>
      <c r="E60" s="3"/>
    </row>
    <row r="61" spans="1:5" ht="18" x14ac:dyDescent="0.35">
      <c r="A61" s="2">
        <v>70</v>
      </c>
      <c r="B61" s="7">
        <v>0.51090000000000002</v>
      </c>
      <c r="C61" s="8">
        <v>0.63780000000000003</v>
      </c>
      <c r="D61" s="3"/>
      <c r="E61" s="3"/>
    </row>
    <row r="62" spans="1:5" ht="18" x14ac:dyDescent="0.35">
      <c r="A62" s="2">
        <v>80</v>
      </c>
      <c r="B62" s="7">
        <v>0.48959999999999998</v>
      </c>
      <c r="C62" s="7">
        <v>0.63639999999999997</v>
      </c>
      <c r="D62" s="3"/>
      <c r="E62" s="3"/>
    </row>
    <row r="63" spans="1:5" ht="18" x14ac:dyDescent="0.35">
      <c r="A63" s="2">
        <v>90</v>
      </c>
      <c r="B63" s="7">
        <v>0.54600000000000004</v>
      </c>
      <c r="C63" s="7">
        <v>0.62980000000000003</v>
      </c>
      <c r="D63" s="3"/>
      <c r="E63" s="3"/>
    </row>
    <row r="64" spans="1:5" ht="18" x14ac:dyDescent="0.35">
      <c r="A64" s="2">
        <v>100</v>
      </c>
      <c r="B64" s="7">
        <v>0.55249999999999999</v>
      </c>
      <c r="C64" s="7">
        <v>0.62639999999999996</v>
      </c>
      <c r="D64" s="3"/>
      <c r="E64" s="3"/>
    </row>
    <row r="65" spans="1:5" ht="18" x14ac:dyDescent="0.35">
      <c r="A65" s="2">
        <v>110</v>
      </c>
      <c r="B65" s="7">
        <v>0.56240000000000001</v>
      </c>
      <c r="C65" s="7">
        <v>0.61919999999999997</v>
      </c>
      <c r="D65" s="3"/>
      <c r="E65" s="3"/>
    </row>
    <row r="66" spans="1:5" ht="18" x14ac:dyDescent="0.35">
      <c r="A66" s="2">
        <v>120</v>
      </c>
      <c r="B66" s="7">
        <v>0.56379999999999997</v>
      </c>
      <c r="C66" s="7">
        <v>0.61</v>
      </c>
      <c r="D66" s="3"/>
      <c r="E66" s="3"/>
    </row>
    <row r="67" spans="1:5" ht="18" x14ac:dyDescent="0.35">
      <c r="A67" s="2">
        <v>130</v>
      </c>
      <c r="B67" s="8">
        <v>0.56789999999999996</v>
      </c>
      <c r="C67" s="7">
        <v>0.59670000000000001</v>
      </c>
      <c r="D67" s="3"/>
      <c r="E67" s="3"/>
    </row>
    <row r="68" spans="1:5" ht="18" x14ac:dyDescent="0.35">
      <c r="A68" s="2">
        <v>140</v>
      </c>
      <c r="B68" s="7">
        <v>0.57520000000000004</v>
      </c>
      <c r="C68" s="7">
        <v>0.59909999999999997</v>
      </c>
      <c r="D68" s="3"/>
      <c r="E68" s="3"/>
    </row>
    <row r="69" spans="1:5" ht="18" x14ac:dyDescent="0.35">
      <c r="A69" s="2">
        <v>150</v>
      </c>
      <c r="B69" s="7">
        <v>0.57620000000000005</v>
      </c>
      <c r="C69" s="7">
        <v>0.59099999999999997</v>
      </c>
      <c r="D69" s="3"/>
      <c r="E69" s="3"/>
    </row>
    <row r="70" spans="1:5" ht="18" x14ac:dyDescent="0.35">
      <c r="A70" s="3"/>
      <c r="B70" s="18" t="s">
        <v>18</v>
      </c>
      <c r="C70" s="18" t="s">
        <v>20</v>
      </c>
      <c r="D70" s="3"/>
      <c r="E70" s="3"/>
    </row>
    <row r="72" spans="1:5" ht="17.399999999999999" x14ac:dyDescent="0.3">
      <c r="A72" s="11" t="s">
        <v>38</v>
      </c>
      <c r="B72" s="11"/>
      <c r="C72" s="11"/>
      <c r="D72" s="11"/>
      <c r="E72" s="11"/>
    </row>
    <row r="73" spans="1:5" ht="17.399999999999999" x14ac:dyDescent="0.3">
      <c r="A73" s="2" t="s">
        <v>14</v>
      </c>
      <c r="B73" s="2" t="s">
        <v>39</v>
      </c>
    </row>
    <row r="74" spans="1:5" ht="17.399999999999999" x14ac:dyDescent="0.3">
      <c r="A74" s="2">
        <v>10</v>
      </c>
    </row>
    <row r="75" spans="1:5" ht="17.399999999999999" x14ac:dyDescent="0.3">
      <c r="A75" s="2">
        <v>20</v>
      </c>
    </row>
    <row r="76" spans="1:5" ht="17.399999999999999" x14ac:dyDescent="0.3">
      <c r="A76" s="2">
        <v>30</v>
      </c>
    </row>
    <row r="77" spans="1:5" ht="17.399999999999999" x14ac:dyDescent="0.3">
      <c r="A77" s="2">
        <v>40</v>
      </c>
    </row>
    <row r="78" spans="1:5" ht="17.399999999999999" x14ac:dyDescent="0.3">
      <c r="A78" s="2">
        <v>50</v>
      </c>
    </row>
    <row r="79" spans="1:5" ht="17.399999999999999" x14ac:dyDescent="0.3">
      <c r="A79" s="2">
        <v>60</v>
      </c>
    </row>
    <row r="80" spans="1:5" ht="17.399999999999999" x14ac:dyDescent="0.3">
      <c r="A80" s="2">
        <v>70</v>
      </c>
    </row>
    <row r="81" spans="1:2" ht="17.399999999999999" x14ac:dyDescent="0.3">
      <c r="A81" s="2">
        <v>80</v>
      </c>
    </row>
    <row r="82" spans="1:2" ht="17.399999999999999" x14ac:dyDescent="0.3">
      <c r="A82" s="2">
        <v>90</v>
      </c>
    </row>
    <row r="83" spans="1:2" ht="17.399999999999999" x14ac:dyDescent="0.3">
      <c r="A83" s="2">
        <v>100</v>
      </c>
    </row>
    <row r="84" spans="1:2" ht="17.399999999999999" x14ac:dyDescent="0.3">
      <c r="A84" s="2">
        <v>110</v>
      </c>
    </row>
    <row r="85" spans="1:2" ht="17.399999999999999" x14ac:dyDescent="0.3">
      <c r="A85" s="2">
        <v>120</v>
      </c>
    </row>
    <row r="86" spans="1:2" ht="17.399999999999999" x14ac:dyDescent="0.3">
      <c r="A86" s="2">
        <v>130</v>
      </c>
    </row>
    <row r="87" spans="1:2" ht="17.399999999999999" x14ac:dyDescent="0.3">
      <c r="A87" s="2">
        <v>140</v>
      </c>
    </row>
    <row r="88" spans="1:2" ht="17.399999999999999" x14ac:dyDescent="0.3">
      <c r="A88" s="2">
        <v>150</v>
      </c>
    </row>
    <row r="89" spans="1:2" ht="18" x14ac:dyDescent="0.35">
      <c r="B89" s="3" t="s">
        <v>20</v>
      </c>
    </row>
  </sheetData>
  <mergeCells count="11">
    <mergeCell ref="A32:E32"/>
    <mergeCell ref="A34:E34"/>
    <mergeCell ref="A52:E52"/>
    <mergeCell ref="A53:E53"/>
    <mergeCell ref="A72:E72"/>
    <mergeCell ref="A25:E25"/>
    <mergeCell ref="A1:E1"/>
    <mergeCell ref="A8:E8"/>
    <mergeCell ref="A10:E10"/>
    <mergeCell ref="A18:E18"/>
    <mergeCell ref="A17:E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路毅</dc:creator>
  <cp:lastModifiedBy>毅 路</cp:lastModifiedBy>
  <dcterms:created xsi:type="dcterms:W3CDTF">2015-06-05T18:19:34Z</dcterms:created>
  <dcterms:modified xsi:type="dcterms:W3CDTF">2026-01-20T11:45:04Z</dcterms:modified>
</cp:coreProperties>
</file>